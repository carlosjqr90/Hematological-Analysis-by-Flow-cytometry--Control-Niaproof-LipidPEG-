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struments from Shared Facility\Beckman Coulter CytoFlex S (L326)\Carlos\20260204_ Mouse Injection LipidPEG Niaproof\Github Dataset\"/>
    </mc:Choice>
  </mc:AlternateContent>
  <xr:revisionPtr revIDLastSave="0" documentId="13_ncr:1_{1598033F-E61B-4EDB-8854-DFE3847073B0}" xr6:coauthVersionLast="36" xr6:coauthVersionMax="47" xr10:uidLastSave="{00000000-0000-0000-0000-000000000000}"/>
  <bookViews>
    <workbookView xWindow="0" yWindow="0" windowWidth="28800" windowHeight="12105" xr2:uid="{1AE4CAF7-3873-4DF1-8E61-705887FEE9BF}"/>
  </bookViews>
  <sheets>
    <sheet name="工作表1 (2)" sheetId="3" r:id="rId1"/>
    <sheet name="工作表1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3" l="1"/>
  <c r="W18" i="3"/>
  <c r="W17" i="3"/>
  <c r="Y19" i="3"/>
  <c r="X19" i="3"/>
  <c r="W19" i="3"/>
  <c r="U19" i="3"/>
  <c r="T19" i="3"/>
  <c r="S19" i="3"/>
  <c r="Q19" i="3"/>
  <c r="O19" i="3"/>
  <c r="M19" i="3"/>
  <c r="L19" i="3"/>
  <c r="K19" i="3"/>
  <c r="I19" i="3"/>
  <c r="H19" i="3"/>
  <c r="G19" i="3"/>
  <c r="E19" i="3"/>
  <c r="D19" i="3"/>
  <c r="C19" i="3"/>
  <c r="Y18" i="3"/>
  <c r="X18" i="3"/>
  <c r="U18" i="3"/>
  <c r="T18" i="3"/>
  <c r="S18" i="3"/>
  <c r="Q18" i="3"/>
  <c r="P18" i="3"/>
  <c r="O18" i="3"/>
  <c r="M18" i="3"/>
  <c r="L18" i="3"/>
  <c r="K18" i="3"/>
  <c r="I18" i="3"/>
  <c r="H18" i="3"/>
  <c r="G18" i="3"/>
  <c r="E18" i="3"/>
  <c r="D18" i="3"/>
  <c r="C18" i="3"/>
  <c r="Y17" i="3"/>
  <c r="X17" i="3"/>
  <c r="U17" i="3"/>
  <c r="T17" i="3"/>
  <c r="S17" i="3"/>
  <c r="Q17" i="3"/>
  <c r="P17" i="3"/>
  <c r="O17" i="3"/>
  <c r="M17" i="3"/>
  <c r="L17" i="3"/>
  <c r="K17" i="3"/>
  <c r="I17" i="3"/>
  <c r="H17" i="3"/>
  <c r="G17" i="3"/>
  <c r="E17" i="3"/>
  <c r="D17" i="3"/>
  <c r="C17" i="3"/>
  <c r="O19" i="2"/>
  <c r="P19" i="2"/>
  <c r="R19" i="2"/>
  <c r="V19" i="2"/>
  <c r="C19" i="2"/>
  <c r="D19" i="2"/>
  <c r="F19" i="2"/>
  <c r="G19" i="2"/>
  <c r="H19" i="2"/>
  <c r="J19" i="2"/>
  <c r="K19" i="2"/>
  <c r="L19" i="2"/>
  <c r="N16" i="2"/>
  <c r="N19" i="2" s="1"/>
  <c r="O16" i="2"/>
  <c r="P16" i="2"/>
  <c r="R16" i="2"/>
  <c r="S16" i="2"/>
  <c r="T16" i="2"/>
  <c r="V16" i="2"/>
  <c r="W16" i="2"/>
  <c r="X16" i="2"/>
  <c r="N17" i="2"/>
  <c r="O17" i="2"/>
  <c r="P17" i="2"/>
  <c r="R17" i="2"/>
  <c r="S17" i="2"/>
  <c r="T17" i="2"/>
  <c r="V17" i="2"/>
  <c r="W17" i="2"/>
  <c r="X17" i="2"/>
  <c r="N18" i="2"/>
  <c r="O18" i="2"/>
  <c r="P18" i="2"/>
  <c r="R18" i="2"/>
  <c r="S18" i="2"/>
  <c r="T18" i="2"/>
  <c r="V18" i="2"/>
  <c r="W18" i="2"/>
  <c r="X18" i="2"/>
  <c r="C16" i="2"/>
  <c r="C17" i="2"/>
  <c r="J16" i="2"/>
  <c r="K16" i="2"/>
  <c r="L16" i="2"/>
  <c r="J17" i="2"/>
  <c r="K17" i="2"/>
  <c r="L17" i="2"/>
  <c r="J18" i="2"/>
  <c r="K18" i="2"/>
  <c r="L18" i="2"/>
  <c r="G16" i="2"/>
  <c r="G21" i="2" s="1"/>
  <c r="H16" i="2"/>
  <c r="G17" i="2"/>
  <c r="H17" i="2"/>
  <c r="G18" i="2"/>
  <c r="H18" i="2"/>
  <c r="F16" i="2"/>
  <c r="F17" i="2"/>
  <c r="F18" i="2"/>
  <c r="D16" i="2"/>
  <c r="D21" i="2" s="1"/>
  <c r="D17" i="2"/>
  <c r="C18" i="2"/>
  <c r="D18" i="2"/>
  <c r="B18" i="2"/>
  <c r="B17" i="2"/>
  <c r="B19" i="2" s="1"/>
  <c r="B16" i="2"/>
  <c r="P23" i="3" l="1"/>
  <c r="Q23" i="3"/>
  <c r="O20" i="3"/>
  <c r="L20" i="3"/>
  <c r="L22" i="3"/>
  <c r="L23" i="3"/>
  <c r="K22" i="3"/>
  <c r="K20" i="3"/>
  <c r="I22" i="3"/>
  <c r="I20" i="3"/>
  <c r="H20" i="3"/>
  <c r="H22" i="3"/>
  <c r="G20" i="3"/>
  <c r="I23" i="3"/>
  <c r="H23" i="3"/>
  <c r="G22" i="3"/>
  <c r="E20" i="3"/>
  <c r="E22" i="3"/>
  <c r="D20" i="3"/>
  <c r="D22" i="3"/>
  <c r="C20" i="3"/>
  <c r="C22" i="3"/>
  <c r="E23" i="3"/>
  <c r="D23" i="3"/>
  <c r="Y22" i="3"/>
  <c r="Y20" i="3"/>
  <c r="X20" i="3"/>
  <c r="X22" i="3"/>
  <c r="Y23" i="3"/>
  <c r="W22" i="3"/>
  <c r="X23" i="3"/>
  <c r="W20" i="3"/>
  <c r="U22" i="3"/>
  <c r="U20" i="3"/>
  <c r="T22" i="3"/>
  <c r="T20" i="3"/>
  <c r="U23" i="3"/>
  <c r="S22" i="3"/>
  <c r="S20" i="3"/>
  <c r="T23" i="3"/>
  <c r="Q22" i="3"/>
  <c r="Q20" i="3"/>
  <c r="P22" i="3"/>
  <c r="P20" i="3"/>
  <c r="O22" i="3"/>
  <c r="M22" i="3"/>
  <c r="M23" i="3"/>
  <c r="M20" i="3"/>
  <c r="X21" i="2"/>
  <c r="X19" i="2"/>
  <c r="W19" i="2"/>
  <c r="W21" i="2"/>
  <c r="T19" i="2"/>
  <c r="S19" i="2"/>
  <c r="J21" i="2"/>
  <c r="P21" i="2"/>
  <c r="O21" i="2"/>
  <c r="H21" i="2"/>
  <c r="S22" i="2"/>
  <c r="R21" i="2"/>
  <c r="T22" i="2"/>
  <c r="S21" i="2"/>
  <c r="T21" i="2"/>
  <c r="O22" i="2"/>
  <c r="P22" i="2"/>
  <c r="N21" i="2"/>
  <c r="W22" i="2"/>
  <c r="V21" i="2"/>
  <c r="X22" i="2"/>
  <c r="B21" i="2"/>
  <c r="D22" i="2"/>
  <c r="L21" i="2"/>
  <c r="L22" i="2"/>
  <c r="K22" i="2"/>
  <c r="K21" i="2"/>
  <c r="C22" i="2"/>
  <c r="C21" i="2"/>
  <c r="G22" i="2"/>
  <c r="H22" i="2"/>
  <c r="F21" i="2"/>
</calcChain>
</file>

<file path=xl/sharedStrings.xml><?xml version="1.0" encoding="utf-8"?>
<sst xmlns="http://schemas.openxmlformats.org/spreadsheetml/2006/main" count="153" uniqueCount="37">
  <si>
    <t>Control</t>
  </si>
  <si>
    <t>Niaproof</t>
  </si>
  <si>
    <t>LipidPEG</t>
  </si>
  <si>
    <t>Debris excluded</t>
  </si>
  <si>
    <t>CD45+</t>
  </si>
  <si>
    <t>CD3+</t>
  </si>
  <si>
    <t>CD4+</t>
  </si>
  <si>
    <t>CD8+</t>
  </si>
  <si>
    <t>CD11b+</t>
  </si>
  <si>
    <t>N total</t>
  </si>
  <si>
    <t>Mean</t>
  </si>
  <si>
    <t>Standard Deviation</t>
  </si>
  <si>
    <t>SE of mean</t>
  </si>
  <si>
    <t>p-value</t>
  </si>
  <si>
    <t>n.s.</t>
  </si>
  <si>
    <t>*</t>
  </si>
  <si>
    <t>**</t>
  </si>
  <si>
    <t>****</t>
  </si>
  <si>
    <t>T test significance</t>
  </si>
  <si>
    <t>-</t>
  </si>
  <si>
    <t>***</t>
  </si>
  <si>
    <t>**</t>
    <phoneticPr fontId="3" type="noConversion"/>
  </si>
  <si>
    <t>*</t>
    <phoneticPr fontId="3" type="noConversion"/>
  </si>
  <si>
    <t>av1</t>
    <phoneticPr fontId="3" type="noConversion"/>
  </si>
  <si>
    <t>av2</t>
    <phoneticPr fontId="3" type="noConversion"/>
  </si>
  <si>
    <t>av3</t>
    <phoneticPr fontId="3" type="noConversion"/>
  </si>
  <si>
    <t>SD</t>
    <phoneticPr fontId="3" type="noConversion"/>
  </si>
  <si>
    <t>Mean</t>
    <phoneticPr fontId="3" type="noConversion"/>
  </si>
  <si>
    <t>S.D</t>
    <phoneticPr fontId="3" type="noConversion"/>
  </si>
  <si>
    <t>p value</t>
    <phoneticPr fontId="3" type="noConversion"/>
  </si>
  <si>
    <t>Mouse 1</t>
    <phoneticPr fontId="3" type="noConversion"/>
  </si>
  <si>
    <t>Mouse 2</t>
  </si>
  <si>
    <t>Mouse 3</t>
  </si>
  <si>
    <t>repeat 1</t>
    <phoneticPr fontId="3" type="noConversion"/>
  </si>
  <si>
    <t>repeat 2</t>
  </si>
  <si>
    <t>repeat 3</t>
  </si>
  <si>
    <t>Summary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</si>
</sst>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_);[Red]\(0.00000\)"/>
  </numFmts>
  <fonts count="7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9"/>
      <name val="Calibri"/>
      <family val="3"/>
      <charset val="136"/>
      <scheme val="minor"/>
    </font>
    <font>
      <b/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/>
    <xf numFmtId="164" fontId="0" fillId="0" borderId="0" xfId="0" applyNumberFormat="1"/>
    <xf numFmtId="164" fontId="5" fillId="2" borderId="0" xfId="0" applyNumberFormat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09E8-8C19-442C-812F-9B8A748729B9}">
  <dimension ref="A2:Y49"/>
  <sheetViews>
    <sheetView tabSelected="1" topLeftCell="B1" workbookViewId="0">
      <selection activeCell="X26" sqref="X26"/>
    </sheetView>
  </sheetViews>
  <sheetFormatPr defaultRowHeight="15"/>
  <cols>
    <col min="2" max="2" width="9" style="12"/>
    <col min="3" max="3" width="13" customWidth="1"/>
    <col min="4" max="4" width="12.42578125" customWidth="1"/>
    <col min="5" max="5" width="12.28515625" customWidth="1"/>
    <col min="7" max="7" width="10.42578125" bestFit="1" customWidth="1"/>
    <col min="8" max="8" width="12" bestFit="1" customWidth="1"/>
    <col min="9" max="9" width="13" bestFit="1" customWidth="1"/>
  </cols>
  <sheetData>
    <row r="2" spans="2:25" ht="15.75">
      <c r="C2" s="5" t="s">
        <v>0</v>
      </c>
      <c r="D2" s="5" t="s">
        <v>1</v>
      </c>
      <c r="E2" s="5" t="s">
        <v>2</v>
      </c>
      <c r="F2" s="5"/>
      <c r="G2" s="5" t="s">
        <v>0</v>
      </c>
      <c r="H2" s="5" t="s">
        <v>1</v>
      </c>
      <c r="I2" s="5" t="s">
        <v>2</v>
      </c>
      <c r="J2" s="5"/>
      <c r="K2" s="5" t="s">
        <v>0</v>
      </c>
      <c r="L2" s="5" t="s">
        <v>1</v>
      </c>
      <c r="M2" s="5" t="s">
        <v>2</v>
      </c>
      <c r="N2" s="5"/>
      <c r="O2" s="5" t="s">
        <v>0</v>
      </c>
      <c r="P2" s="5" t="s">
        <v>1</v>
      </c>
      <c r="Q2" s="5" t="s">
        <v>2</v>
      </c>
      <c r="R2" s="5"/>
      <c r="S2" s="5" t="s">
        <v>0</v>
      </c>
      <c r="T2" s="5" t="s">
        <v>1</v>
      </c>
      <c r="U2" s="5" t="s">
        <v>2</v>
      </c>
      <c r="V2" s="5"/>
      <c r="W2" s="5" t="s">
        <v>0</v>
      </c>
      <c r="X2" s="5" t="s">
        <v>1</v>
      </c>
      <c r="Y2" s="5" t="s">
        <v>2</v>
      </c>
    </row>
    <row r="3" spans="2:25" ht="15.75">
      <c r="C3" s="5" t="s">
        <v>3</v>
      </c>
      <c r="D3" s="5" t="s">
        <v>3</v>
      </c>
      <c r="E3" s="5" t="s">
        <v>3</v>
      </c>
      <c r="F3" s="5"/>
      <c r="G3" s="5" t="s">
        <v>4</v>
      </c>
      <c r="H3" s="5" t="s">
        <v>4</v>
      </c>
      <c r="I3" s="5" t="s">
        <v>4</v>
      </c>
      <c r="J3" s="5"/>
      <c r="K3" s="5" t="s">
        <v>5</v>
      </c>
      <c r="L3" s="5" t="s">
        <v>5</v>
      </c>
      <c r="M3" s="5" t="s">
        <v>5</v>
      </c>
      <c r="N3" s="5"/>
      <c r="O3" s="5" t="s">
        <v>6</v>
      </c>
      <c r="P3" s="5" t="s">
        <v>6</v>
      </c>
      <c r="Q3" s="5" t="s">
        <v>6</v>
      </c>
      <c r="R3" s="5"/>
      <c r="S3" s="5" t="s">
        <v>7</v>
      </c>
      <c r="T3" s="5" t="s">
        <v>7</v>
      </c>
      <c r="U3" s="5" t="s">
        <v>7</v>
      </c>
      <c r="V3" s="5"/>
      <c r="W3" s="5" t="s">
        <v>8</v>
      </c>
      <c r="X3" s="5" t="s">
        <v>8</v>
      </c>
      <c r="Y3" s="5" t="s">
        <v>8</v>
      </c>
    </row>
    <row r="4" spans="2:25">
      <c r="B4" s="12" t="s">
        <v>33</v>
      </c>
      <c r="C4">
        <v>85.32</v>
      </c>
      <c r="D4">
        <v>68.930000000000007</v>
      </c>
      <c r="E4">
        <v>58.72</v>
      </c>
      <c r="G4">
        <v>39.58</v>
      </c>
      <c r="H4">
        <v>44.33</v>
      </c>
      <c r="I4">
        <v>36.909999999999997</v>
      </c>
      <c r="K4">
        <v>10.96</v>
      </c>
      <c r="L4">
        <v>19.28</v>
      </c>
      <c r="M4">
        <v>22.72</v>
      </c>
      <c r="O4">
        <v>48.63</v>
      </c>
      <c r="P4">
        <v>73.83</v>
      </c>
      <c r="Q4">
        <v>69.34</v>
      </c>
      <c r="S4">
        <v>27.7</v>
      </c>
      <c r="T4">
        <v>19.489999999999998</v>
      </c>
      <c r="U4">
        <v>26.9</v>
      </c>
      <c r="W4">
        <v>14.01</v>
      </c>
      <c r="X4">
        <v>5.27</v>
      </c>
      <c r="Y4">
        <v>15.16</v>
      </c>
    </row>
    <row r="5" spans="2:25">
      <c r="B5" s="12" t="s">
        <v>34</v>
      </c>
      <c r="C5">
        <v>82.03</v>
      </c>
      <c r="D5">
        <v>59.75</v>
      </c>
      <c r="E5">
        <v>67.44</v>
      </c>
      <c r="G5">
        <v>37.68</v>
      </c>
      <c r="H5">
        <v>45.34</v>
      </c>
      <c r="I5">
        <v>37.78</v>
      </c>
      <c r="K5">
        <v>11.6</v>
      </c>
      <c r="L5">
        <v>18.23</v>
      </c>
      <c r="M5">
        <v>22.87</v>
      </c>
      <c r="O5">
        <v>54.98</v>
      </c>
      <c r="P5">
        <v>74.12</v>
      </c>
      <c r="Q5">
        <v>70.209999999999994</v>
      </c>
      <c r="S5">
        <v>27.49</v>
      </c>
      <c r="T5">
        <v>18.93</v>
      </c>
      <c r="U5">
        <v>26.7</v>
      </c>
      <c r="W5">
        <v>11.68</v>
      </c>
      <c r="X5">
        <v>5.3</v>
      </c>
      <c r="Y5">
        <v>13.99</v>
      </c>
    </row>
    <row r="6" spans="2:25">
      <c r="B6" s="12" t="s">
        <v>35</v>
      </c>
      <c r="C6">
        <v>82.01</v>
      </c>
      <c r="D6">
        <v>60.51</v>
      </c>
      <c r="E6">
        <v>71.260000000000005</v>
      </c>
      <c r="G6">
        <v>37.659999999999997</v>
      </c>
      <c r="I6">
        <v>34.119999999999997</v>
      </c>
      <c r="K6">
        <v>11.77</v>
      </c>
      <c r="L6">
        <v>18.77</v>
      </c>
      <c r="M6">
        <v>21.88</v>
      </c>
      <c r="O6">
        <v>60.24</v>
      </c>
      <c r="P6">
        <v>73.61</v>
      </c>
      <c r="Q6">
        <v>71.62</v>
      </c>
      <c r="S6">
        <v>26.91</v>
      </c>
      <c r="T6">
        <v>20.7</v>
      </c>
      <c r="U6">
        <v>26.41</v>
      </c>
      <c r="W6">
        <v>14.36</v>
      </c>
      <c r="X6">
        <v>4.7</v>
      </c>
      <c r="Y6">
        <v>16.309999999999999</v>
      </c>
    </row>
    <row r="8" spans="2:25">
      <c r="B8" s="12" t="s">
        <v>33</v>
      </c>
      <c r="C8">
        <v>92.66</v>
      </c>
      <c r="D8">
        <v>81.34</v>
      </c>
      <c r="E8">
        <v>49.18</v>
      </c>
      <c r="G8" s="7"/>
      <c r="I8">
        <v>46.35</v>
      </c>
      <c r="K8">
        <v>10.130000000000001</v>
      </c>
      <c r="L8">
        <v>15.63</v>
      </c>
      <c r="M8">
        <v>18.82</v>
      </c>
      <c r="O8" s="7">
        <v>56.41</v>
      </c>
      <c r="P8">
        <v>55.73</v>
      </c>
      <c r="Q8">
        <v>56.62</v>
      </c>
      <c r="S8">
        <v>23.06</v>
      </c>
      <c r="T8">
        <v>15.16</v>
      </c>
      <c r="U8">
        <v>25.14</v>
      </c>
      <c r="W8" s="7"/>
      <c r="X8">
        <v>5.98</v>
      </c>
      <c r="Y8">
        <v>8.48</v>
      </c>
    </row>
    <row r="9" spans="2:25">
      <c r="B9" s="12" t="s">
        <v>34</v>
      </c>
      <c r="C9">
        <v>84.19</v>
      </c>
      <c r="D9">
        <v>82.04</v>
      </c>
      <c r="E9">
        <v>57.67</v>
      </c>
      <c r="G9">
        <v>34.83</v>
      </c>
      <c r="H9">
        <v>39.869999999999997</v>
      </c>
      <c r="I9">
        <v>44.65</v>
      </c>
      <c r="K9">
        <v>14.67</v>
      </c>
      <c r="L9">
        <v>14.14</v>
      </c>
      <c r="M9">
        <v>19.07</v>
      </c>
      <c r="O9">
        <v>57.74</v>
      </c>
      <c r="P9">
        <v>60.32</v>
      </c>
      <c r="Q9">
        <v>55.75</v>
      </c>
      <c r="S9">
        <v>26.17</v>
      </c>
      <c r="T9">
        <v>18.7</v>
      </c>
      <c r="U9">
        <v>25.91</v>
      </c>
      <c r="W9">
        <v>12.98</v>
      </c>
      <c r="X9">
        <v>5.91</v>
      </c>
      <c r="Y9">
        <v>7.59</v>
      </c>
    </row>
    <row r="10" spans="2:25">
      <c r="B10" s="12" t="s">
        <v>35</v>
      </c>
      <c r="C10">
        <v>83.19</v>
      </c>
      <c r="D10">
        <v>83.5</v>
      </c>
      <c r="E10">
        <v>49.2</v>
      </c>
      <c r="G10">
        <v>34.72</v>
      </c>
      <c r="H10">
        <v>39.86</v>
      </c>
      <c r="I10">
        <v>42.44</v>
      </c>
      <c r="K10">
        <v>13.33</v>
      </c>
      <c r="L10">
        <v>14.71</v>
      </c>
      <c r="M10">
        <v>20.32</v>
      </c>
      <c r="O10">
        <v>59.18</v>
      </c>
      <c r="P10">
        <v>65.680000000000007</v>
      </c>
      <c r="Q10">
        <v>56.08</v>
      </c>
      <c r="S10">
        <v>28.81</v>
      </c>
      <c r="T10">
        <v>17.77</v>
      </c>
      <c r="U10">
        <v>24.84</v>
      </c>
      <c r="W10">
        <v>12.17</v>
      </c>
      <c r="X10">
        <v>6.4</v>
      </c>
      <c r="Y10">
        <v>7.92</v>
      </c>
    </row>
    <row r="12" spans="2:25">
      <c r="B12" s="12" t="s">
        <v>33</v>
      </c>
      <c r="C12">
        <v>85.81</v>
      </c>
      <c r="D12">
        <v>84.06</v>
      </c>
      <c r="E12">
        <v>84.99</v>
      </c>
      <c r="G12">
        <v>30.63</v>
      </c>
      <c r="I12">
        <v>38.78</v>
      </c>
      <c r="K12">
        <v>11.72</v>
      </c>
      <c r="L12">
        <v>15.27</v>
      </c>
      <c r="M12">
        <v>18.18</v>
      </c>
      <c r="O12">
        <v>57.99</v>
      </c>
      <c r="P12">
        <v>51.71</v>
      </c>
      <c r="Q12">
        <v>66.78</v>
      </c>
      <c r="S12">
        <v>27.36</v>
      </c>
      <c r="T12">
        <v>29.7</v>
      </c>
      <c r="U12">
        <v>25.54</v>
      </c>
      <c r="W12">
        <v>13.59</v>
      </c>
      <c r="X12">
        <v>3.89</v>
      </c>
      <c r="Y12">
        <v>11.26</v>
      </c>
    </row>
    <row r="13" spans="2:25">
      <c r="B13" s="12" t="s">
        <v>34</v>
      </c>
      <c r="C13">
        <v>82.87</v>
      </c>
      <c r="D13">
        <v>80.8</v>
      </c>
      <c r="E13">
        <v>83.69</v>
      </c>
      <c r="G13">
        <v>32.49</v>
      </c>
      <c r="H13">
        <v>63.73</v>
      </c>
      <c r="K13">
        <v>10.19</v>
      </c>
      <c r="L13">
        <v>14.98</v>
      </c>
      <c r="M13">
        <v>16.54</v>
      </c>
      <c r="O13">
        <v>62.8</v>
      </c>
      <c r="P13">
        <v>64.22</v>
      </c>
      <c r="Q13">
        <v>68.09</v>
      </c>
      <c r="S13">
        <v>27.55</v>
      </c>
      <c r="T13">
        <v>27.64</v>
      </c>
      <c r="U13">
        <v>23.9</v>
      </c>
      <c r="W13">
        <v>13.1</v>
      </c>
      <c r="X13">
        <v>1.56</v>
      </c>
      <c r="Y13">
        <v>7.14</v>
      </c>
    </row>
    <row r="14" spans="2:25">
      <c r="B14" s="12" t="s">
        <v>35</v>
      </c>
      <c r="C14">
        <v>81.48</v>
      </c>
      <c r="D14">
        <v>87.06</v>
      </c>
      <c r="E14">
        <v>83.16</v>
      </c>
      <c r="G14">
        <v>33.21</v>
      </c>
      <c r="H14">
        <v>63.12</v>
      </c>
      <c r="K14">
        <v>10.09</v>
      </c>
      <c r="L14">
        <v>17.32</v>
      </c>
      <c r="M14">
        <v>17.29</v>
      </c>
      <c r="O14">
        <v>63.26</v>
      </c>
      <c r="P14">
        <v>64.8</v>
      </c>
      <c r="Q14">
        <v>68.72</v>
      </c>
      <c r="S14">
        <v>26.76</v>
      </c>
      <c r="T14">
        <v>24.53</v>
      </c>
      <c r="U14">
        <v>23.48</v>
      </c>
      <c r="W14">
        <v>11.03</v>
      </c>
      <c r="X14">
        <v>1.68</v>
      </c>
      <c r="Y14">
        <v>9.26</v>
      </c>
    </row>
    <row r="16" spans="2:25">
      <c r="B16" s="12" t="s">
        <v>36</v>
      </c>
    </row>
    <row r="17" spans="1:25">
      <c r="A17" t="s">
        <v>23</v>
      </c>
      <c r="B17" s="12" t="s">
        <v>30</v>
      </c>
      <c r="C17" s="6">
        <f>AVERAGE(C4:C6)</f>
        <v>83.12</v>
      </c>
      <c r="D17" s="6">
        <f t="shared" ref="D17:E17" si="0">AVERAGE(D4:D6)</f>
        <v>63.063333333333333</v>
      </c>
      <c r="E17" s="6">
        <f t="shared" si="0"/>
        <v>65.806666666666672</v>
      </c>
      <c r="F17" s="6"/>
      <c r="G17" s="6">
        <f t="shared" ref="G17:I17" si="1">AVERAGE(G4:G6)</f>
        <v>38.306666666666665</v>
      </c>
      <c r="H17" s="6">
        <f t="shared" si="1"/>
        <v>44.835000000000001</v>
      </c>
      <c r="I17" s="6">
        <f t="shared" si="1"/>
        <v>36.270000000000003</v>
      </c>
      <c r="J17" s="6"/>
      <c r="K17" s="6">
        <f t="shared" ref="K17:M17" si="2">AVERAGE(K4:K6)</f>
        <v>11.443333333333333</v>
      </c>
      <c r="L17" s="6">
        <f t="shared" si="2"/>
        <v>18.760000000000002</v>
      </c>
      <c r="M17" s="6">
        <f t="shared" si="2"/>
        <v>22.49</v>
      </c>
      <c r="N17" s="6"/>
      <c r="O17" s="6">
        <f>AVERAGE(O4:O6)</f>
        <v>54.616666666666667</v>
      </c>
      <c r="P17" s="6">
        <f>AVERAGE(P4:P6)</f>
        <v>73.853333333333339</v>
      </c>
      <c r="Q17" s="6">
        <f>AVERAGE(Q4:Q6)</f>
        <v>70.39</v>
      </c>
      <c r="R17" s="6"/>
      <c r="S17" s="6">
        <f>AVERAGE(S4:S6)</f>
        <v>27.366666666666664</v>
      </c>
      <c r="T17" s="6">
        <f>AVERAGE(T4:T6)</f>
        <v>19.706666666666667</v>
      </c>
      <c r="U17" s="6">
        <f>AVERAGE(U4:U6)</f>
        <v>26.669999999999998</v>
      </c>
      <c r="V17" s="6"/>
      <c r="W17" s="6">
        <f>AVERAGE(W4:W6)</f>
        <v>13.35</v>
      </c>
      <c r="X17" s="6">
        <f t="shared" ref="X17:Y17" si="3">AVERAGE(X4:X6)</f>
        <v>5.09</v>
      </c>
      <c r="Y17" s="6">
        <f t="shared" si="3"/>
        <v>15.153333333333331</v>
      </c>
    </row>
    <row r="18" spans="1:25">
      <c r="A18" t="s">
        <v>24</v>
      </c>
      <c r="B18" s="12" t="s">
        <v>31</v>
      </c>
      <c r="C18" s="6">
        <f>AVERAGE(C8:C10)</f>
        <v>86.679999999999993</v>
      </c>
      <c r="D18" s="6">
        <f t="shared" ref="D18:E18" si="4">AVERAGE(D8:D10)</f>
        <v>82.293333333333337</v>
      </c>
      <c r="E18" s="6">
        <f t="shared" si="4"/>
        <v>52.016666666666673</v>
      </c>
      <c r="F18" s="6"/>
      <c r="G18" s="6">
        <f t="shared" ref="G18:I18" si="5">AVERAGE(G8:G10)</f>
        <v>34.774999999999999</v>
      </c>
      <c r="H18" s="6">
        <f t="shared" si="5"/>
        <v>39.864999999999995</v>
      </c>
      <c r="I18" s="6">
        <f t="shared" si="5"/>
        <v>44.48</v>
      </c>
      <c r="J18" s="6"/>
      <c r="K18" s="6">
        <f t="shared" ref="K18:M18" si="6">AVERAGE(K8:K10)</f>
        <v>12.71</v>
      </c>
      <c r="L18" s="6">
        <f t="shared" si="6"/>
        <v>14.826666666666668</v>
      </c>
      <c r="M18" s="6">
        <f t="shared" si="6"/>
        <v>19.403333333333332</v>
      </c>
      <c r="N18" s="6"/>
      <c r="O18" s="6">
        <f>AVERAGE(O8:O10)</f>
        <v>57.776666666666671</v>
      </c>
      <c r="P18" s="6">
        <f>AVERAGE(P8:P10)</f>
        <v>60.576666666666675</v>
      </c>
      <c r="Q18" s="6">
        <f>AVERAGE(Q8:Q10)</f>
        <v>56.15</v>
      </c>
      <c r="R18" s="6"/>
      <c r="S18" s="6">
        <f>AVERAGE(S8:S10)</f>
        <v>26.013333333333335</v>
      </c>
      <c r="T18" s="6">
        <f>AVERAGE(T8:T10)</f>
        <v>17.209999999999997</v>
      </c>
      <c r="U18" s="6">
        <f>AVERAGE(U8:U10)</f>
        <v>25.296666666666667</v>
      </c>
      <c r="V18" s="6"/>
      <c r="W18" s="6">
        <f>AVERAGE(W8:W10)</f>
        <v>12.574999999999999</v>
      </c>
      <c r="X18" s="6">
        <f t="shared" ref="X18:Y18" si="7">AVERAGE(X8:X10)</f>
        <v>6.0966666666666667</v>
      </c>
      <c r="Y18" s="6">
        <f t="shared" si="7"/>
        <v>7.996666666666667</v>
      </c>
    </row>
    <row r="19" spans="1:25">
      <c r="A19" t="s">
        <v>25</v>
      </c>
      <c r="B19" s="12" t="s">
        <v>32</v>
      </c>
      <c r="C19" s="6">
        <f>AVERAGE(C12:C14)</f>
        <v>83.38666666666667</v>
      </c>
      <c r="D19" s="6">
        <f t="shared" ref="D19:E19" si="8">AVERAGE(D12:D14)</f>
        <v>83.973333333333343</v>
      </c>
      <c r="E19" s="6">
        <f t="shared" si="8"/>
        <v>83.946666666666673</v>
      </c>
      <c r="F19" s="6"/>
      <c r="G19" s="6">
        <f t="shared" ref="G19:I19" si="9">AVERAGE(G12:G14)</f>
        <v>32.110000000000007</v>
      </c>
      <c r="H19" s="6">
        <f t="shared" si="9"/>
        <v>63.424999999999997</v>
      </c>
      <c r="I19" s="6">
        <f t="shared" si="9"/>
        <v>38.78</v>
      </c>
      <c r="J19" s="6"/>
      <c r="K19" s="6">
        <f t="shared" ref="K19:M19" si="10">AVERAGE(K12:K14)</f>
        <v>10.666666666666666</v>
      </c>
      <c r="L19" s="6">
        <f t="shared" si="10"/>
        <v>15.856666666666667</v>
      </c>
      <c r="M19" s="6">
        <f t="shared" si="10"/>
        <v>17.336666666666666</v>
      </c>
      <c r="N19" s="6"/>
      <c r="O19" s="6">
        <f>AVERAGE(O12:O14)</f>
        <v>61.349999999999994</v>
      </c>
      <c r="P19" s="6">
        <f>AVERAGE(P12:P14)</f>
        <v>60.243333333333339</v>
      </c>
      <c r="Q19" s="6">
        <f>AVERAGE(Q12:Q14)</f>
        <v>67.86333333333333</v>
      </c>
      <c r="R19" s="6"/>
      <c r="S19" s="6">
        <f>AVERAGE(S12:S14)</f>
        <v>27.223333333333333</v>
      </c>
      <c r="T19" s="6">
        <f>AVERAGE(T12:T14)</f>
        <v>27.290000000000003</v>
      </c>
      <c r="U19" s="6">
        <f>AVERAGE(U12:U14)</f>
        <v>24.306666666666668</v>
      </c>
      <c r="V19" s="6"/>
      <c r="W19" s="6">
        <f t="shared" ref="W19:Y19" si="11">AVERAGE(W12:W14)</f>
        <v>12.573333333333332</v>
      </c>
      <c r="X19" s="6">
        <f t="shared" si="11"/>
        <v>2.3766666666666665</v>
      </c>
      <c r="Y19" s="6">
        <f t="shared" si="11"/>
        <v>9.2199999999999989</v>
      </c>
    </row>
    <row r="20" spans="1:25">
      <c r="B20" s="13" t="s">
        <v>27</v>
      </c>
      <c r="C20" s="8">
        <f>AVERAGE(C17:C19)</f>
        <v>84.395555555555561</v>
      </c>
      <c r="D20" s="8">
        <f>AVERAGE(D17:D19)</f>
        <v>76.443333333333342</v>
      </c>
      <c r="E20" s="8">
        <f>AVERAGE(E17:E19)</f>
        <v>67.256666666666675</v>
      </c>
      <c r="F20" s="8"/>
      <c r="G20" s="8">
        <f>AVERAGE(G17:G19)</f>
        <v>35.06388888888889</v>
      </c>
      <c r="H20" s="8">
        <f>AVERAGE(H17:H19)</f>
        <v>49.375</v>
      </c>
      <c r="I20" s="8">
        <f>AVERAGE(I17:I19)</f>
        <v>39.843333333333334</v>
      </c>
      <c r="J20" s="8"/>
      <c r="K20" s="8">
        <f>AVERAGE(K17:K19)</f>
        <v>11.606666666666667</v>
      </c>
      <c r="L20" s="8">
        <f>AVERAGE(L17:L19)</f>
        <v>16.481111111111115</v>
      </c>
      <c r="M20" s="8">
        <f>AVERAGE(M17:M19)</f>
        <v>19.743333333333332</v>
      </c>
      <c r="N20" s="8"/>
      <c r="O20" s="8">
        <f>AVERAGE(O17:O19)</f>
        <v>57.914444444444449</v>
      </c>
      <c r="P20" s="8">
        <f>AVERAGE(P17:P19)</f>
        <v>64.891111111111115</v>
      </c>
      <c r="Q20" s="8">
        <f>AVERAGE(Q17:Q19)</f>
        <v>64.801111111111098</v>
      </c>
      <c r="R20" s="8"/>
      <c r="S20" s="8">
        <f>AVERAGE(S17:S19)</f>
        <v>26.867777777777775</v>
      </c>
      <c r="T20" s="8">
        <f>AVERAGE(T17:T19)</f>
        <v>21.402222222222221</v>
      </c>
      <c r="U20" s="8">
        <f>AVERAGE(U17:U19)</f>
        <v>25.424444444444447</v>
      </c>
      <c r="V20" s="8"/>
      <c r="W20" s="8">
        <f>AVERAGE(W17:W19)</f>
        <v>12.832777777777777</v>
      </c>
      <c r="X20" s="8">
        <f>AVERAGE(X17:X19)</f>
        <v>4.5211111111111117</v>
      </c>
      <c r="Y20" s="8">
        <f>AVERAGE(Y17:Y19)</f>
        <v>10.79</v>
      </c>
    </row>
    <row r="21" spans="1:25">
      <c r="B21" s="13"/>
    </row>
    <row r="22" spans="1:25">
      <c r="A22" t="s">
        <v>26</v>
      </c>
      <c r="B22" s="13" t="s">
        <v>28</v>
      </c>
      <c r="C22" s="6">
        <f>STDEV(C17:C19)</f>
        <v>1.9828748302887316</v>
      </c>
      <c r="D22" s="6">
        <f t="shared" ref="D22:I22" si="12">STDEV(D17:D19)</f>
        <v>11.617826819160166</v>
      </c>
      <c r="E22" s="6">
        <f t="shared" si="12"/>
        <v>16.014309226438648</v>
      </c>
      <c r="F22" s="6"/>
      <c r="G22" s="6">
        <f t="shared" si="12"/>
        <v>3.1084179315267457</v>
      </c>
      <c r="H22" s="6">
        <f t="shared" si="12"/>
        <v>12.41882039486843</v>
      </c>
      <c r="I22" s="6">
        <f t="shared" si="12"/>
        <v>4.2070219078741804</v>
      </c>
      <c r="J22" s="6"/>
      <c r="K22" s="6">
        <f>STDEV(K17:K19)</f>
        <v>1.0314121926325637</v>
      </c>
      <c r="L22" s="6">
        <f t="shared" ref="L22:M22" si="13">STDEV(L17:L19)</f>
        <v>2.039663189334413</v>
      </c>
      <c r="M22" s="6">
        <f t="shared" si="13"/>
        <v>2.5934361590582928</v>
      </c>
      <c r="N22" s="6"/>
      <c r="O22" s="6">
        <f>STDEV(O17:O19)</f>
        <v>3.3687804145538278</v>
      </c>
      <c r="P22" s="6">
        <f>STDEV(P17:P19)</f>
        <v>7.7633013691436803</v>
      </c>
      <c r="Q22" s="6">
        <f>STDEV(Q17:Q19)</f>
        <v>7.5978486233738369</v>
      </c>
      <c r="R22" s="6"/>
      <c r="S22" s="6">
        <f>STDEV(S17:S19)</f>
        <v>0.74343297787533547</v>
      </c>
      <c r="T22" s="6">
        <f>STDEV(T17:T19)</f>
        <v>5.2495505980494732</v>
      </c>
      <c r="U22" s="6">
        <f>STDEV(U17:U19)</f>
        <v>1.1868367543522897</v>
      </c>
      <c r="V22" s="6"/>
      <c r="W22" s="6">
        <f>STDEV(W17:W19)</f>
        <v>0.44792835902051914</v>
      </c>
      <c r="X22" s="6">
        <f>STDEV(X17:X19)</f>
        <v>1.9241429068356442</v>
      </c>
      <c r="Y22" s="6">
        <f>STDEV(Y17:Y19)</f>
        <v>3.8279425863568606</v>
      </c>
    </row>
    <row r="23" spans="1:25" s="10" customFormat="1">
      <c r="B23" s="14" t="s">
        <v>29</v>
      </c>
      <c r="D23" s="10">
        <f>_xlfn.T.TEST(C17:C19,D17:D19,2,3)</f>
        <v>0.35730908671989031</v>
      </c>
      <c r="E23" s="10">
        <f>_xlfn.T.TEST(C17:C19,E17:E19,2,3)</f>
        <v>0.2034144951104836</v>
      </c>
      <c r="H23" s="10">
        <f>_xlfn.T.TEST(G17:G19,H17:H19,2,3)</f>
        <v>0.17814528351569198</v>
      </c>
      <c r="I23" s="10">
        <f>_xlfn.T.TEST(G17:G19,I17:I19,2,3)</f>
        <v>0.19473539207517826</v>
      </c>
      <c r="L23" s="11">
        <f>_xlfn.T.TEST(K17:K19,L17:L19,2,3)</f>
        <v>3.5209320660719481E-2</v>
      </c>
      <c r="M23" s="11">
        <f>_xlfn.T.TEST(K17:K19,M17:M19,2,3)</f>
        <v>2.0654220329771187E-2</v>
      </c>
      <c r="P23" s="10">
        <f>_xlfn.T.TEST(O17:O19,P17:P19,2,3)</f>
        <v>0.25714358336355148</v>
      </c>
      <c r="Q23" s="10">
        <f>_xlfn.T.TEST(O17:O19,Q17:Q19,2,3)</f>
        <v>0.2542731260146604</v>
      </c>
      <c r="T23" s="10">
        <f>_xlfn.T.TEST(S17:S19,T17:T19,2,3)</f>
        <v>0.21122582211372648</v>
      </c>
      <c r="U23" s="10">
        <f>_xlfn.T.TEST(S17:S19,U17:U19,2,3)</f>
        <v>0.16230432772303552</v>
      </c>
      <c r="X23" s="11">
        <f>_xlfn.T.TEST(W17:W19,X17:X19,2,3)</f>
        <v>1.3737840974477259E-2</v>
      </c>
      <c r="Y23" s="10">
        <f>_xlfn.T.TEST(W17:W19,Y17:Y19,2,3)</f>
        <v>0.45328345070876064</v>
      </c>
    </row>
    <row r="46" spans="14:16">
      <c r="N46" s="8"/>
      <c r="O46" s="8"/>
      <c r="P46" s="8"/>
    </row>
    <row r="48" spans="14:16">
      <c r="N48" s="6"/>
      <c r="O48" s="6"/>
      <c r="P48" s="6"/>
    </row>
    <row r="49" spans="14:16">
      <c r="N49" s="6"/>
      <c r="O49" s="6"/>
      <c r="P49" s="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A5B8-329E-41B7-8068-6EDC10ACE4DC}">
  <dimension ref="A2:X22"/>
  <sheetViews>
    <sheetView workbookViewId="0">
      <selection activeCell="L28" sqref="L28"/>
    </sheetView>
  </sheetViews>
  <sheetFormatPr defaultRowHeight="15"/>
  <cols>
    <col min="2" max="2" width="12.5703125" customWidth="1"/>
    <col min="3" max="3" width="12.42578125" customWidth="1"/>
    <col min="4" max="4" width="12.28515625" customWidth="1"/>
    <col min="6" max="6" width="10.42578125" bestFit="1" customWidth="1"/>
    <col min="7" max="7" width="12" bestFit="1" customWidth="1"/>
    <col min="8" max="8" width="13" bestFit="1" customWidth="1"/>
  </cols>
  <sheetData>
    <row r="2" spans="1:24" ht="15.75">
      <c r="B2" s="5" t="s">
        <v>0</v>
      </c>
      <c r="C2" s="5" t="s">
        <v>1</v>
      </c>
      <c r="D2" s="5" t="s">
        <v>2</v>
      </c>
      <c r="E2" s="5"/>
      <c r="F2" s="5" t="s">
        <v>0</v>
      </c>
      <c r="G2" s="5" t="s">
        <v>1</v>
      </c>
      <c r="H2" s="5" t="s">
        <v>2</v>
      </c>
      <c r="I2" s="5"/>
      <c r="J2" s="5" t="s">
        <v>0</v>
      </c>
      <c r="K2" s="5" t="s">
        <v>1</v>
      </c>
      <c r="L2" s="5" t="s">
        <v>2</v>
      </c>
      <c r="M2" s="5"/>
      <c r="N2" s="5" t="s">
        <v>0</v>
      </c>
      <c r="O2" s="5" t="s">
        <v>1</v>
      </c>
      <c r="P2" s="5" t="s">
        <v>2</v>
      </c>
      <c r="Q2" s="5"/>
      <c r="R2" s="5" t="s">
        <v>0</v>
      </c>
      <c r="S2" s="5" t="s">
        <v>1</v>
      </c>
      <c r="T2" s="5" t="s">
        <v>2</v>
      </c>
      <c r="U2" s="5"/>
      <c r="V2" s="5" t="s">
        <v>0</v>
      </c>
      <c r="W2" s="5" t="s">
        <v>1</v>
      </c>
      <c r="X2" s="5" t="s">
        <v>2</v>
      </c>
    </row>
    <row r="3" spans="1:24" ht="15.75">
      <c r="B3" s="5" t="s">
        <v>3</v>
      </c>
      <c r="C3" s="5" t="s">
        <v>3</v>
      </c>
      <c r="D3" s="5" t="s">
        <v>3</v>
      </c>
      <c r="E3" s="5"/>
      <c r="F3" s="5" t="s">
        <v>4</v>
      </c>
      <c r="G3" s="5" t="s">
        <v>4</v>
      </c>
      <c r="H3" s="5" t="s">
        <v>4</v>
      </c>
      <c r="I3" s="5"/>
      <c r="J3" s="5" t="s">
        <v>5</v>
      </c>
      <c r="K3" s="5" t="s">
        <v>5</v>
      </c>
      <c r="L3" s="5" t="s">
        <v>5</v>
      </c>
      <c r="M3" s="5"/>
      <c r="N3" s="5" t="s">
        <v>6</v>
      </c>
      <c r="O3" s="5" t="s">
        <v>6</v>
      </c>
      <c r="P3" s="5" t="s">
        <v>6</v>
      </c>
      <c r="Q3" s="5"/>
      <c r="R3" s="5" t="s">
        <v>7</v>
      </c>
      <c r="S3" s="5" t="s">
        <v>7</v>
      </c>
      <c r="T3" s="5" t="s">
        <v>7</v>
      </c>
      <c r="U3" s="5"/>
      <c r="V3" s="5" t="s">
        <v>8</v>
      </c>
      <c r="W3" s="5" t="s">
        <v>8</v>
      </c>
      <c r="X3" s="5" t="s">
        <v>8</v>
      </c>
    </row>
    <row r="4" spans="1:24">
      <c r="B4">
        <v>85.32</v>
      </c>
      <c r="C4">
        <v>68.930000000000007</v>
      </c>
      <c r="D4">
        <v>58.72</v>
      </c>
      <c r="F4">
        <v>39.58</v>
      </c>
      <c r="G4">
        <v>44.33</v>
      </c>
      <c r="H4">
        <v>58.72</v>
      </c>
      <c r="J4">
        <v>10.96</v>
      </c>
      <c r="K4">
        <v>19.28</v>
      </c>
      <c r="L4">
        <v>22.72</v>
      </c>
      <c r="N4">
        <v>48.63</v>
      </c>
      <c r="O4">
        <v>73.83</v>
      </c>
      <c r="P4">
        <v>69.34</v>
      </c>
      <c r="R4">
        <v>27.7</v>
      </c>
      <c r="S4">
        <v>19.489999999999998</v>
      </c>
      <c r="T4">
        <v>26.9</v>
      </c>
      <c r="V4">
        <v>14.01</v>
      </c>
      <c r="W4">
        <v>5.27</v>
      </c>
      <c r="X4">
        <v>15.16</v>
      </c>
    </row>
    <row r="5" spans="1:24">
      <c r="B5">
        <v>82.03</v>
      </c>
      <c r="C5">
        <v>59.75</v>
      </c>
      <c r="D5">
        <v>67.44</v>
      </c>
      <c r="F5">
        <v>37.68</v>
      </c>
      <c r="G5">
        <v>45.34</v>
      </c>
      <c r="H5">
        <v>67.44</v>
      </c>
      <c r="J5">
        <v>11.6</v>
      </c>
      <c r="K5">
        <v>18.23</v>
      </c>
      <c r="L5">
        <v>22.87</v>
      </c>
      <c r="N5">
        <v>54.98</v>
      </c>
      <c r="O5">
        <v>74.12</v>
      </c>
      <c r="P5">
        <v>70.209999999999994</v>
      </c>
      <c r="R5">
        <v>27.49</v>
      </c>
      <c r="S5">
        <v>18.93</v>
      </c>
      <c r="T5">
        <v>26.7</v>
      </c>
      <c r="V5">
        <v>11.68</v>
      </c>
      <c r="W5">
        <v>5.3</v>
      </c>
      <c r="X5">
        <v>13.99</v>
      </c>
    </row>
    <row r="6" spans="1:24">
      <c r="B6">
        <v>82.01</v>
      </c>
      <c r="C6">
        <v>60.51</v>
      </c>
      <c r="D6">
        <v>71.260000000000005</v>
      </c>
      <c r="F6">
        <v>37.659999999999997</v>
      </c>
      <c r="G6">
        <v>41.86</v>
      </c>
      <c r="H6">
        <v>71.260000000000005</v>
      </c>
      <c r="J6">
        <v>11.77</v>
      </c>
      <c r="K6">
        <v>18.77</v>
      </c>
      <c r="L6">
        <v>21.88</v>
      </c>
      <c r="N6">
        <v>60.24</v>
      </c>
      <c r="O6">
        <v>73.61</v>
      </c>
      <c r="P6">
        <v>71.62</v>
      </c>
      <c r="R6">
        <v>26.91</v>
      </c>
      <c r="S6">
        <v>20.7</v>
      </c>
      <c r="T6">
        <v>26.41</v>
      </c>
      <c r="V6">
        <v>14.36</v>
      </c>
      <c r="W6">
        <v>4.7</v>
      </c>
      <c r="X6">
        <v>16.309999999999999</v>
      </c>
    </row>
    <row r="8" spans="1:24">
      <c r="B8">
        <v>92.66</v>
      </c>
      <c r="C8">
        <v>81.34</v>
      </c>
      <c r="D8">
        <v>49.18</v>
      </c>
      <c r="F8" s="7">
        <v>10.130000000000001</v>
      </c>
      <c r="G8">
        <v>39.299999999999997</v>
      </c>
      <c r="H8">
        <v>49.18</v>
      </c>
      <c r="J8">
        <v>10.130000000000001</v>
      </c>
      <c r="K8">
        <v>15.63</v>
      </c>
      <c r="L8">
        <v>18.82</v>
      </c>
      <c r="N8" s="7">
        <v>56.41</v>
      </c>
      <c r="O8">
        <v>55.73</v>
      </c>
      <c r="P8">
        <v>56.62</v>
      </c>
      <c r="R8">
        <v>23.06</v>
      </c>
      <c r="S8">
        <v>15.16</v>
      </c>
      <c r="T8">
        <v>25.14</v>
      </c>
      <c r="V8" s="7">
        <v>46.19</v>
      </c>
      <c r="W8">
        <v>5.98</v>
      </c>
      <c r="X8">
        <v>8.48</v>
      </c>
    </row>
    <row r="9" spans="1:24">
      <c r="B9">
        <v>84.19</v>
      </c>
      <c r="C9">
        <v>82.04</v>
      </c>
      <c r="D9">
        <v>57.67</v>
      </c>
      <c r="F9">
        <v>34.83</v>
      </c>
      <c r="G9">
        <v>39.869999999999997</v>
      </c>
      <c r="H9">
        <v>57.67</v>
      </c>
      <c r="J9">
        <v>14.67</v>
      </c>
      <c r="K9">
        <v>14.14</v>
      </c>
      <c r="L9">
        <v>19.07</v>
      </c>
      <c r="N9">
        <v>57.74</v>
      </c>
      <c r="O9">
        <v>60.32</v>
      </c>
      <c r="P9">
        <v>55.75</v>
      </c>
      <c r="R9">
        <v>26.17</v>
      </c>
      <c r="S9">
        <v>18.7</v>
      </c>
      <c r="T9">
        <v>25.91</v>
      </c>
      <c r="V9">
        <v>12.98</v>
      </c>
      <c r="W9">
        <v>5.91</v>
      </c>
      <c r="X9">
        <v>7.59</v>
      </c>
    </row>
    <row r="10" spans="1:24">
      <c r="B10">
        <v>83.19</v>
      </c>
      <c r="C10">
        <v>83.5</v>
      </c>
      <c r="D10">
        <v>49.2</v>
      </c>
      <c r="F10">
        <v>34.72</v>
      </c>
      <c r="G10">
        <v>39.86</v>
      </c>
      <c r="H10">
        <v>49.2</v>
      </c>
      <c r="J10">
        <v>13.33</v>
      </c>
      <c r="K10">
        <v>14.71</v>
      </c>
      <c r="L10">
        <v>20.32</v>
      </c>
      <c r="N10">
        <v>59.18</v>
      </c>
      <c r="O10">
        <v>65.680000000000007</v>
      </c>
      <c r="P10">
        <v>56.08</v>
      </c>
      <c r="R10">
        <v>28.81</v>
      </c>
      <c r="S10">
        <v>17.77</v>
      </c>
      <c r="T10">
        <v>24.84</v>
      </c>
      <c r="V10">
        <v>12.17</v>
      </c>
      <c r="W10">
        <v>6.4</v>
      </c>
      <c r="X10">
        <v>7.92</v>
      </c>
    </row>
    <row r="12" spans="1:24">
      <c r="B12">
        <v>85.81</v>
      </c>
      <c r="C12">
        <v>84.06</v>
      </c>
      <c r="D12">
        <v>84.99</v>
      </c>
      <c r="F12">
        <v>30.63</v>
      </c>
      <c r="G12">
        <v>59.64</v>
      </c>
      <c r="H12">
        <v>84.99</v>
      </c>
      <c r="J12">
        <v>11.72</v>
      </c>
      <c r="K12">
        <v>15.27</v>
      </c>
      <c r="L12">
        <v>18.18</v>
      </c>
      <c r="N12">
        <v>57.99</v>
      </c>
      <c r="O12">
        <v>51.71</v>
      </c>
      <c r="P12">
        <v>66.78</v>
      </c>
      <c r="R12">
        <v>27.36</v>
      </c>
      <c r="S12">
        <v>29.7</v>
      </c>
      <c r="T12">
        <v>25.54</v>
      </c>
      <c r="V12">
        <v>13.59</v>
      </c>
      <c r="W12">
        <v>3.89</v>
      </c>
      <c r="X12">
        <v>11.26</v>
      </c>
    </row>
    <row r="13" spans="1:24">
      <c r="B13">
        <v>82.87</v>
      </c>
      <c r="C13">
        <v>80.8</v>
      </c>
      <c r="D13">
        <v>83.69</v>
      </c>
      <c r="F13">
        <v>32.49</v>
      </c>
      <c r="G13">
        <v>61.73</v>
      </c>
      <c r="H13">
        <v>83.69</v>
      </c>
      <c r="J13">
        <v>10.19</v>
      </c>
      <c r="K13">
        <v>14.98</v>
      </c>
      <c r="L13">
        <v>16.54</v>
      </c>
      <c r="N13">
        <v>62.8</v>
      </c>
      <c r="O13">
        <v>64.22</v>
      </c>
      <c r="P13">
        <v>68.09</v>
      </c>
      <c r="R13">
        <v>27.55</v>
      </c>
      <c r="S13">
        <v>27.64</v>
      </c>
      <c r="T13">
        <v>23.9</v>
      </c>
      <c r="V13">
        <v>13.1</v>
      </c>
      <c r="W13">
        <v>1.56</v>
      </c>
      <c r="X13">
        <v>7.14</v>
      </c>
    </row>
    <row r="14" spans="1:24">
      <c r="B14">
        <v>81.48</v>
      </c>
      <c r="C14">
        <v>87.06</v>
      </c>
      <c r="D14">
        <v>83.16</v>
      </c>
      <c r="F14">
        <v>33.21</v>
      </c>
      <c r="G14">
        <v>61.08</v>
      </c>
      <c r="H14">
        <v>83.16</v>
      </c>
      <c r="J14">
        <v>10.09</v>
      </c>
      <c r="K14">
        <v>17.32</v>
      </c>
      <c r="L14">
        <v>17.29</v>
      </c>
      <c r="N14">
        <v>63.26</v>
      </c>
      <c r="O14">
        <v>64.8</v>
      </c>
      <c r="P14">
        <v>68.72</v>
      </c>
      <c r="R14">
        <v>26.76</v>
      </c>
      <c r="S14">
        <v>24.53</v>
      </c>
      <c r="T14">
        <v>23.48</v>
      </c>
      <c r="V14">
        <v>11.03</v>
      </c>
      <c r="W14">
        <v>1.68</v>
      </c>
      <c r="X14">
        <v>9.26</v>
      </c>
    </row>
    <row r="16" spans="1:24">
      <c r="A16" t="s">
        <v>23</v>
      </c>
      <c r="B16" s="6">
        <f>AVERAGE(B4:B6)</f>
        <v>83.12</v>
      </c>
      <c r="C16" s="6">
        <f t="shared" ref="C16:D16" si="0">AVERAGE(C4:C6)</f>
        <v>63.063333333333333</v>
      </c>
      <c r="D16" s="6">
        <f t="shared" si="0"/>
        <v>65.806666666666672</v>
      </c>
      <c r="E16" s="6"/>
      <c r="F16" s="6">
        <f t="shared" ref="F16" si="1">AVERAGE(F4:F6)</f>
        <v>38.306666666666665</v>
      </c>
      <c r="G16" s="6">
        <f t="shared" ref="G16:H16" si="2">AVERAGE(G4:G6)</f>
        <v>43.843333333333334</v>
      </c>
      <c r="H16" s="6">
        <f t="shared" si="2"/>
        <v>65.806666666666672</v>
      </c>
      <c r="I16" s="6"/>
      <c r="J16" s="6">
        <f t="shared" ref="J16:L16" si="3">AVERAGE(J4:J6)</f>
        <v>11.443333333333333</v>
      </c>
      <c r="K16" s="6">
        <f t="shared" si="3"/>
        <v>18.760000000000002</v>
      </c>
      <c r="L16" s="6">
        <f t="shared" si="3"/>
        <v>22.49</v>
      </c>
      <c r="M16" s="6"/>
      <c r="N16" s="6">
        <f t="shared" ref="N16:X16" si="4">AVERAGE(N4:N6)</f>
        <v>54.616666666666667</v>
      </c>
      <c r="O16" s="6">
        <f t="shared" si="4"/>
        <v>73.853333333333339</v>
      </c>
      <c r="P16" s="6">
        <f t="shared" si="4"/>
        <v>70.39</v>
      </c>
      <c r="Q16" s="6"/>
      <c r="R16" s="6">
        <f t="shared" si="4"/>
        <v>27.366666666666664</v>
      </c>
      <c r="S16" s="6">
        <f t="shared" si="4"/>
        <v>19.706666666666667</v>
      </c>
      <c r="T16" s="6">
        <f t="shared" si="4"/>
        <v>26.669999999999998</v>
      </c>
      <c r="U16" s="6"/>
      <c r="V16" s="6">
        <f t="shared" si="4"/>
        <v>13.35</v>
      </c>
      <c r="W16" s="6">
        <f t="shared" si="4"/>
        <v>5.09</v>
      </c>
      <c r="X16" s="6">
        <f t="shared" si="4"/>
        <v>15.153333333333331</v>
      </c>
    </row>
    <row r="17" spans="1:24">
      <c r="A17" t="s">
        <v>24</v>
      </c>
      <c r="B17" s="6">
        <f>AVERAGE(B8:B10)</f>
        <v>86.679999999999993</v>
      </c>
      <c r="C17" s="6">
        <f t="shared" ref="C17:D17" si="5">AVERAGE(C8:C10)</f>
        <v>82.293333333333337</v>
      </c>
      <c r="D17" s="6">
        <f t="shared" si="5"/>
        <v>52.016666666666673</v>
      </c>
      <c r="E17" s="6"/>
      <c r="F17" s="6">
        <f t="shared" ref="F17" si="6">AVERAGE(F8:F10)</f>
        <v>26.560000000000002</v>
      </c>
      <c r="G17" s="6">
        <f t="shared" ref="G17:H17" si="7">AVERAGE(G8:G10)</f>
        <v>39.676666666666662</v>
      </c>
      <c r="H17" s="6">
        <f t="shared" si="7"/>
        <v>52.016666666666673</v>
      </c>
      <c r="I17" s="6"/>
      <c r="J17" s="6">
        <f t="shared" ref="J17:L17" si="8">AVERAGE(J8:J10)</f>
        <v>12.71</v>
      </c>
      <c r="K17" s="6">
        <f t="shared" si="8"/>
        <v>14.826666666666668</v>
      </c>
      <c r="L17" s="6">
        <f t="shared" si="8"/>
        <v>19.403333333333332</v>
      </c>
      <c r="M17" s="6"/>
      <c r="N17" s="6">
        <f t="shared" ref="N17:X17" si="9">AVERAGE(N8:N10)</f>
        <v>57.776666666666671</v>
      </c>
      <c r="O17" s="6">
        <f t="shared" si="9"/>
        <v>60.576666666666675</v>
      </c>
      <c r="P17" s="6">
        <f t="shared" si="9"/>
        <v>56.15</v>
      </c>
      <c r="Q17" s="6"/>
      <c r="R17" s="6">
        <f t="shared" si="9"/>
        <v>26.013333333333335</v>
      </c>
      <c r="S17" s="6">
        <f t="shared" si="9"/>
        <v>17.209999999999997</v>
      </c>
      <c r="T17" s="6">
        <f t="shared" si="9"/>
        <v>25.296666666666667</v>
      </c>
      <c r="U17" s="6"/>
      <c r="V17" s="6">
        <f t="shared" si="9"/>
        <v>23.78</v>
      </c>
      <c r="W17" s="6">
        <f t="shared" si="9"/>
        <v>6.0966666666666667</v>
      </c>
      <c r="X17" s="6">
        <f t="shared" si="9"/>
        <v>7.996666666666667</v>
      </c>
    </row>
    <row r="18" spans="1:24">
      <c r="A18" t="s">
        <v>25</v>
      </c>
      <c r="B18" s="6">
        <f>AVERAGE(B12:B14)</f>
        <v>83.38666666666667</v>
      </c>
      <c r="C18" s="6">
        <f t="shared" ref="C18:D18" si="10">AVERAGE(C12:C14)</f>
        <v>83.973333333333343</v>
      </c>
      <c r="D18" s="6">
        <f t="shared" si="10"/>
        <v>83.946666666666673</v>
      </c>
      <c r="E18" s="6"/>
      <c r="F18" s="6">
        <f t="shared" ref="F18" si="11">AVERAGE(F12:F14)</f>
        <v>32.110000000000007</v>
      </c>
      <c r="G18" s="6">
        <f t="shared" ref="G18:H18" si="12">AVERAGE(G12:G14)</f>
        <v>60.816666666666663</v>
      </c>
      <c r="H18" s="6">
        <f t="shared" si="12"/>
        <v>83.946666666666673</v>
      </c>
      <c r="I18" s="6"/>
      <c r="J18" s="6">
        <f t="shared" ref="J18:L18" si="13">AVERAGE(J12:J14)</f>
        <v>10.666666666666666</v>
      </c>
      <c r="K18" s="6">
        <f t="shared" si="13"/>
        <v>15.856666666666667</v>
      </c>
      <c r="L18" s="6">
        <f t="shared" si="13"/>
        <v>17.336666666666666</v>
      </c>
      <c r="M18" s="6"/>
      <c r="N18" s="6">
        <f t="shared" ref="N18:X18" si="14">AVERAGE(N12:N14)</f>
        <v>61.349999999999994</v>
      </c>
      <c r="O18" s="6">
        <f t="shared" si="14"/>
        <v>60.243333333333339</v>
      </c>
      <c r="P18" s="6">
        <f t="shared" si="14"/>
        <v>67.86333333333333</v>
      </c>
      <c r="Q18" s="6"/>
      <c r="R18" s="6">
        <f t="shared" si="14"/>
        <v>27.223333333333333</v>
      </c>
      <c r="S18" s="6">
        <f t="shared" si="14"/>
        <v>27.290000000000003</v>
      </c>
      <c r="T18" s="6">
        <f t="shared" si="14"/>
        <v>24.306666666666668</v>
      </c>
      <c r="U18" s="6"/>
      <c r="V18" s="6">
        <f t="shared" si="14"/>
        <v>12.573333333333332</v>
      </c>
      <c r="W18" s="6">
        <f t="shared" si="14"/>
        <v>2.3766666666666665</v>
      </c>
      <c r="X18" s="6">
        <f t="shared" si="14"/>
        <v>9.2199999999999989</v>
      </c>
    </row>
    <row r="19" spans="1:24">
      <c r="B19" s="8">
        <f>AVERAGE(B16:B18)</f>
        <v>84.395555555555561</v>
      </c>
      <c r="C19" s="8">
        <f>AVERAGE(C16:C18)</f>
        <v>76.443333333333342</v>
      </c>
      <c r="D19" s="8">
        <f>AVERAGE(D16:D18)</f>
        <v>67.256666666666675</v>
      </c>
      <c r="E19" s="8"/>
      <c r="F19" s="8">
        <f>AVERAGE(F16:F18)</f>
        <v>32.32555555555556</v>
      </c>
      <c r="G19" s="8">
        <f>AVERAGE(G16:G18)</f>
        <v>48.112222222222215</v>
      </c>
      <c r="H19" s="8">
        <f>AVERAGE(H16:H18)</f>
        <v>67.256666666666675</v>
      </c>
      <c r="I19" s="8"/>
      <c r="J19" s="8">
        <f>AVERAGE(J16:J18)</f>
        <v>11.606666666666667</v>
      </c>
      <c r="K19" s="8">
        <f>AVERAGE(K16:K18)</f>
        <v>16.481111111111115</v>
      </c>
      <c r="L19" s="8">
        <f>AVERAGE(L16:L18)</f>
        <v>19.743333333333332</v>
      </c>
      <c r="M19" s="8"/>
      <c r="N19" s="8">
        <f>AVERAGE(N16:N18)</f>
        <v>57.914444444444449</v>
      </c>
      <c r="O19" s="8">
        <f>AVERAGE(O16:O18)</f>
        <v>64.891111111111115</v>
      </c>
      <c r="P19" s="8">
        <f>AVERAGE(P16:P18)</f>
        <v>64.801111111111098</v>
      </c>
      <c r="Q19" s="8"/>
      <c r="R19" s="8">
        <f>AVERAGE(R16:R18)</f>
        <v>26.867777777777775</v>
      </c>
      <c r="S19" s="8">
        <f>AVERAGE(S16:S18)</f>
        <v>21.402222222222221</v>
      </c>
      <c r="T19" s="8">
        <f>AVERAGE(T16:T18)</f>
        <v>25.424444444444447</v>
      </c>
      <c r="U19" s="8"/>
      <c r="V19" s="8">
        <f>AVERAGE(V16:V18)</f>
        <v>16.567777777777778</v>
      </c>
      <c r="W19" s="8">
        <f>AVERAGE(W16:W18)</f>
        <v>4.5211111111111117</v>
      </c>
      <c r="X19" s="8">
        <f>AVERAGE(X16:X18)</f>
        <v>10.79</v>
      </c>
    </row>
    <row r="21" spans="1:24">
      <c r="A21" t="s">
        <v>26</v>
      </c>
      <c r="B21" s="6">
        <f>STDEV(B16:B18)</f>
        <v>1.9828748302887316</v>
      </c>
      <c r="C21" s="6">
        <f t="shared" ref="C21:H21" si="15">STDEV(C16:C18)</f>
        <v>11.617826819160166</v>
      </c>
      <c r="D21" s="6">
        <f t="shared" si="15"/>
        <v>16.014309226438648</v>
      </c>
      <c r="E21" s="6"/>
      <c r="F21" s="6">
        <f t="shared" si="15"/>
        <v>5.8762992259237405</v>
      </c>
      <c r="G21" s="6">
        <f t="shared" si="15"/>
        <v>11.197877444375798</v>
      </c>
      <c r="H21" s="6">
        <f t="shared" si="15"/>
        <v>16.014309226438648</v>
      </c>
      <c r="I21" s="6"/>
      <c r="J21" s="6">
        <f>STDEV(J16:J18)</f>
        <v>1.0314121926325637</v>
      </c>
      <c r="K21" s="6">
        <f t="shared" ref="K21:L21" si="16">STDEV(K16:K18)</f>
        <v>2.039663189334413</v>
      </c>
      <c r="L21" s="6">
        <f t="shared" si="16"/>
        <v>2.5934361590582928</v>
      </c>
      <c r="M21" s="6"/>
      <c r="N21" s="6">
        <f>STDEV(N16:N18)</f>
        <v>3.3687804145538278</v>
      </c>
      <c r="O21" s="6">
        <f>STDEV(O16:O18)</f>
        <v>7.7633013691436803</v>
      </c>
      <c r="P21" s="6">
        <f>STDEV(P16:P18)</f>
        <v>7.5978486233738369</v>
      </c>
      <c r="Q21" s="6"/>
      <c r="R21" s="6">
        <f>STDEV(R16:R18)</f>
        <v>0.74343297787533547</v>
      </c>
      <c r="S21" s="6">
        <f>STDEV(S16:S18)</f>
        <v>5.2495505980494732</v>
      </c>
      <c r="T21" s="6">
        <f>STDEV(T16:T18)</f>
        <v>1.1868367543522897</v>
      </c>
      <c r="U21" s="6"/>
      <c r="V21" s="6">
        <f>STDEV(V16:V18)</f>
        <v>6.2580280292448967</v>
      </c>
      <c r="W21" s="6">
        <f>STDEV(W16:W18)</f>
        <v>1.9241429068356442</v>
      </c>
      <c r="X21" s="6">
        <f>STDEV(X16:X18)</f>
        <v>3.8279425863568606</v>
      </c>
    </row>
    <row r="22" spans="1:24">
      <c r="C22" s="6">
        <f>_xlfn.T.TEST(B16:B18,C16:C18,2,3)</f>
        <v>0.35730908671989031</v>
      </c>
      <c r="D22" s="6">
        <f>_xlfn.T.TEST(B16:B18,D16:D18,2,3)</f>
        <v>0.2034144951104836</v>
      </c>
      <c r="E22" s="6"/>
      <c r="F22" s="6"/>
      <c r="G22" s="6">
        <f>_xlfn.T.TEST(F16:F18,G16:G18,2,3)</f>
        <v>0.11861791540776802</v>
      </c>
      <c r="H22" s="9">
        <f>_xlfn.T.TEST(F16:F18,H16:H18,2,3)</f>
        <v>4.9960473443887363E-2</v>
      </c>
      <c r="I22" s="6"/>
      <c r="J22" s="6"/>
      <c r="K22" s="9">
        <f>_xlfn.T.TEST(J16:J18,K16:K18,2,3)</f>
        <v>3.5209320660719481E-2</v>
      </c>
      <c r="L22" s="9">
        <f>_xlfn.T.TEST(J16:J18,L16:L18,2,3)</f>
        <v>2.0654220329771187E-2</v>
      </c>
      <c r="M22" s="6"/>
      <c r="N22" s="6"/>
      <c r="O22" s="6">
        <f>_xlfn.T.TEST(N16:N18,O16:O18,2,3)</f>
        <v>0.25714358336355148</v>
      </c>
      <c r="P22" s="6">
        <f>_xlfn.T.TEST(N16:N18,P16:P18,2,3)</f>
        <v>0.2542731260146604</v>
      </c>
      <c r="Q22" s="6"/>
      <c r="R22" s="6"/>
      <c r="S22" s="6">
        <f>_xlfn.T.TEST(R16:R18,S16:S18,2,3)</f>
        <v>0.21122582211372648</v>
      </c>
      <c r="T22" s="6">
        <f>_xlfn.T.TEST(R16:R18,T16:T18,2,3)</f>
        <v>0.16230432772303552</v>
      </c>
      <c r="U22" s="6"/>
      <c r="V22" s="6"/>
      <c r="W22" s="6">
        <f>_xlfn.T.TEST(V16:V18,W16:W18,2,3)</f>
        <v>6.8540683540068495E-2</v>
      </c>
      <c r="X22" s="6">
        <f>_xlfn.T.TEST(V16:V18,X16:X18,2,3)</f>
        <v>0.25781272290732393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BF3A-DAC1-43CA-BB21-9A1DF6A637E6}">
  <dimension ref="B1:Q24"/>
  <sheetViews>
    <sheetView zoomScale="70" zoomScaleNormal="70" workbookViewId="0">
      <selection activeCell="B2" sqref="B2:C24"/>
    </sheetView>
  </sheetViews>
  <sheetFormatPr defaultRowHeight="15"/>
  <cols>
    <col min="2" max="2" width="17.42578125" bestFit="1" customWidth="1"/>
    <col min="3" max="3" width="33.42578125" bestFit="1" customWidth="1"/>
    <col min="4" max="5" width="13.140625" bestFit="1" customWidth="1"/>
    <col min="6" max="6" width="10.85546875" bestFit="1" customWidth="1"/>
    <col min="7" max="7" width="14.28515625" bestFit="1" customWidth="1"/>
    <col min="8" max="8" width="16.5703125" bestFit="1" customWidth="1"/>
    <col min="9" max="9" width="33.5703125" bestFit="1" customWidth="1"/>
    <col min="10" max="10" width="20.5703125" bestFit="1" customWidth="1"/>
    <col min="11" max="11" width="32.28515625" bestFit="1" customWidth="1"/>
    <col min="12" max="12" width="16.42578125" bestFit="1" customWidth="1"/>
    <col min="13" max="13" width="15.85546875" bestFit="1" customWidth="1"/>
  </cols>
  <sheetData>
    <row r="1" spans="2:16" ht="23.25">
      <c r="B1" s="1"/>
      <c r="C1" s="1"/>
      <c r="D1" s="1"/>
      <c r="E1" s="1"/>
      <c r="F1" s="1"/>
      <c r="G1" s="1" t="s">
        <v>9</v>
      </c>
      <c r="H1" s="1" t="s">
        <v>10</v>
      </c>
      <c r="I1" s="1" t="s">
        <v>11</v>
      </c>
      <c r="J1" s="1" t="s">
        <v>12</v>
      </c>
      <c r="K1" s="2" t="s">
        <v>18</v>
      </c>
      <c r="L1" s="1" t="s">
        <v>13</v>
      </c>
    </row>
    <row r="2" spans="2:16" ht="23.25">
      <c r="B2" s="1" t="s">
        <v>0</v>
      </c>
      <c r="C2" s="1" t="s">
        <v>3</v>
      </c>
      <c r="D2" s="3">
        <v>85.32</v>
      </c>
      <c r="E2" s="3">
        <v>81.7</v>
      </c>
      <c r="F2" s="3">
        <v>81.92</v>
      </c>
      <c r="G2" s="3">
        <v>3</v>
      </c>
      <c r="H2" s="3">
        <v>82.773330000000001</v>
      </c>
      <c r="I2" s="3">
        <v>1.6721600000000001</v>
      </c>
      <c r="J2" s="3">
        <v>0.96541999999999994</v>
      </c>
      <c r="K2" s="4"/>
      <c r="L2" s="4"/>
      <c r="N2" s="3"/>
      <c r="O2" s="3"/>
      <c r="P2" s="3"/>
    </row>
    <row r="3" spans="2:16" ht="23.25">
      <c r="B3" s="1" t="s">
        <v>1</v>
      </c>
      <c r="C3" s="1" t="s">
        <v>3</v>
      </c>
      <c r="D3" s="3">
        <v>68.930000000000007</v>
      </c>
      <c r="E3" s="3">
        <v>60.5</v>
      </c>
      <c r="F3" s="3">
        <v>59.86</v>
      </c>
      <c r="G3" s="3">
        <v>3</v>
      </c>
      <c r="H3" s="3">
        <v>63.15</v>
      </c>
      <c r="I3" s="3">
        <v>5.1541300000000003</v>
      </c>
      <c r="J3" s="3">
        <v>2.9757400000000001</v>
      </c>
      <c r="K3" s="4" t="s">
        <v>21</v>
      </c>
      <c r="L3" s="4">
        <v>2.8999999999999998E-3</v>
      </c>
      <c r="N3" s="3"/>
      <c r="O3" s="3"/>
      <c r="P3" s="3"/>
    </row>
    <row r="4" spans="2:16" ht="23.25">
      <c r="B4" s="1" t="s">
        <v>2</v>
      </c>
      <c r="C4" s="1" t="s">
        <v>3</v>
      </c>
      <c r="D4" s="3">
        <v>58.72</v>
      </c>
      <c r="E4" s="3">
        <v>67.28</v>
      </c>
      <c r="F4" s="3">
        <v>71.16</v>
      </c>
      <c r="G4" s="3">
        <v>3</v>
      </c>
      <c r="H4" s="3">
        <v>65.64667</v>
      </c>
      <c r="I4" s="3">
        <v>6.4861199999999997</v>
      </c>
      <c r="J4" s="3">
        <v>3.7447599999999999</v>
      </c>
      <c r="K4" s="4" t="s">
        <v>16</v>
      </c>
      <c r="L4" s="4">
        <v>9.1000000000000004E-3</v>
      </c>
      <c r="N4" s="3"/>
      <c r="O4" s="3"/>
      <c r="P4" s="3"/>
    </row>
    <row r="5" spans="2:16" ht="23.25">
      <c r="B5" s="1"/>
      <c r="C5" s="1"/>
      <c r="D5" s="3"/>
      <c r="E5" s="3"/>
      <c r="F5" s="3"/>
      <c r="G5" s="3"/>
      <c r="H5" s="3"/>
      <c r="I5" s="3"/>
      <c r="J5" s="3"/>
      <c r="K5" s="4"/>
      <c r="L5" s="4"/>
    </row>
    <row r="6" spans="2:16" ht="23.25">
      <c r="B6" s="1" t="s">
        <v>0</v>
      </c>
      <c r="C6" s="1" t="s">
        <v>4</v>
      </c>
      <c r="D6" s="3">
        <v>40.68</v>
      </c>
      <c r="E6" s="3">
        <v>37.090000000000003</v>
      </c>
      <c r="F6" s="3">
        <v>36.26</v>
      </c>
      <c r="G6" s="3">
        <v>3</v>
      </c>
      <c r="H6" s="3">
        <v>36.47</v>
      </c>
      <c r="I6" s="3">
        <v>0.54617000000000004</v>
      </c>
      <c r="J6" s="3">
        <v>0.31533</v>
      </c>
      <c r="K6" s="4"/>
      <c r="L6" s="4"/>
      <c r="N6" s="3"/>
      <c r="O6" s="3"/>
      <c r="P6" s="3"/>
    </row>
    <row r="7" spans="2:16" ht="23.25">
      <c r="B7" s="1" t="s">
        <v>1</v>
      </c>
      <c r="C7" s="1" t="s">
        <v>4</v>
      </c>
      <c r="D7" s="3">
        <v>39.479999999999997</v>
      </c>
      <c r="E7" s="3">
        <v>44.09</v>
      </c>
      <c r="F7" s="3">
        <v>40.49</v>
      </c>
      <c r="G7" s="3">
        <v>3</v>
      </c>
      <c r="H7" s="3">
        <v>41.04</v>
      </c>
      <c r="I7" s="3">
        <v>2.8155800000000002</v>
      </c>
      <c r="J7" s="3">
        <v>1.62558</v>
      </c>
      <c r="K7" s="4" t="s">
        <v>19</v>
      </c>
      <c r="L7" s="4" t="s">
        <v>14</v>
      </c>
      <c r="M7" s="4">
        <v>0.23719999999999999</v>
      </c>
      <c r="N7" s="3"/>
      <c r="O7" s="3"/>
      <c r="P7" s="3"/>
    </row>
    <row r="8" spans="2:16" ht="23.25">
      <c r="B8" s="1" t="s">
        <v>2</v>
      </c>
      <c r="C8" s="1" t="s">
        <v>4</v>
      </c>
      <c r="D8" s="3">
        <v>31.12</v>
      </c>
      <c r="E8" s="3">
        <v>34.86</v>
      </c>
      <c r="F8" s="3">
        <v>31.26</v>
      </c>
      <c r="G8" s="3">
        <v>3</v>
      </c>
      <c r="H8" s="3">
        <v>33.333329999999997</v>
      </c>
      <c r="I8" s="3">
        <v>1.8612200000000001</v>
      </c>
      <c r="J8" s="3">
        <v>1.07457</v>
      </c>
      <c r="K8" s="4" t="s">
        <v>15</v>
      </c>
      <c r="L8">
        <v>4.9099999999999998E-2</v>
      </c>
      <c r="N8" s="3"/>
      <c r="O8" s="3"/>
      <c r="P8" s="3"/>
    </row>
    <row r="9" spans="2:16" ht="23.25">
      <c r="B9" s="1"/>
      <c r="C9" s="1"/>
      <c r="D9" s="3"/>
      <c r="E9" s="3"/>
      <c r="F9" s="3"/>
      <c r="G9" s="3"/>
      <c r="H9" s="3"/>
      <c r="I9" s="3"/>
      <c r="J9" s="3"/>
      <c r="K9" s="4"/>
    </row>
    <row r="10" spans="2:16" ht="23.25">
      <c r="B10" s="1" t="s">
        <v>0</v>
      </c>
      <c r="C10" s="1" t="s">
        <v>5</v>
      </c>
      <c r="D10" s="3">
        <v>13.42</v>
      </c>
      <c r="E10" s="3">
        <v>13.29</v>
      </c>
      <c r="F10" s="3">
        <v>11.37</v>
      </c>
      <c r="G10" s="3">
        <v>3</v>
      </c>
      <c r="H10" s="3">
        <v>11.84667</v>
      </c>
      <c r="I10" s="3">
        <v>0.20033000000000001</v>
      </c>
      <c r="J10" s="3">
        <v>0.11566</v>
      </c>
      <c r="K10" s="4"/>
      <c r="N10" s="3"/>
      <c r="O10" s="3"/>
      <c r="P10" s="3"/>
    </row>
    <row r="11" spans="2:16" ht="23.25">
      <c r="B11" s="1" t="s">
        <v>1</v>
      </c>
      <c r="C11" s="1" t="s">
        <v>5</v>
      </c>
      <c r="D11" s="3">
        <v>19.32</v>
      </c>
      <c r="E11" s="3">
        <v>15.6</v>
      </c>
      <c r="F11" s="3">
        <v>12.1</v>
      </c>
      <c r="G11" s="3">
        <v>3</v>
      </c>
      <c r="H11" s="3">
        <v>19.65333</v>
      </c>
      <c r="I11" s="3">
        <v>1.7700400000000001</v>
      </c>
      <c r="J11" s="3">
        <v>1.02193</v>
      </c>
      <c r="K11" s="4" t="s">
        <v>22</v>
      </c>
      <c r="L11">
        <v>1.7500000000000002E-2</v>
      </c>
      <c r="M11" s="3">
        <v>13.42</v>
      </c>
      <c r="N11" s="3">
        <v>19.32</v>
      </c>
      <c r="O11" s="3">
        <v>24.72</v>
      </c>
      <c r="P11" s="3"/>
    </row>
    <row r="12" spans="2:16" ht="23.25">
      <c r="B12" s="1" t="s">
        <v>2</v>
      </c>
      <c r="C12" s="1" t="s">
        <v>5</v>
      </c>
      <c r="D12" s="3">
        <v>24.72</v>
      </c>
      <c r="E12" s="3">
        <v>19.309999999999999</v>
      </c>
      <c r="F12" s="3">
        <v>19.22</v>
      </c>
      <c r="G12" s="3">
        <v>3</v>
      </c>
      <c r="H12" s="3">
        <v>24.316669999999998</v>
      </c>
      <c r="I12" s="3">
        <v>0.57950999999999997</v>
      </c>
      <c r="J12" s="3">
        <v>0.33457999999999999</v>
      </c>
      <c r="K12" s="4" t="s">
        <v>17</v>
      </c>
      <c r="M12" s="3">
        <v>13.29</v>
      </c>
      <c r="N12" s="3">
        <v>15.6</v>
      </c>
      <c r="O12" s="3">
        <v>19.309999999999999</v>
      </c>
      <c r="P12" s="3"/>
    </row>
    <row r="13" spans="2:16" ht="23.25">
      <c r="B13" s="1"/>
      <c r="C13" s="1"/>
      <c r="D13" s="3"/>
      <c r="E13" s="3"/>
      <c r="F13" s="3"/>
      <c r="G13" s="3"/>
      <c r="H13" s="3"/>
      <c r="I13" s="3"/>
      <c r="J13" s="3"/>
      <c r="K13" s="4"/>
      <c r="L13" s="4"/>
      <c r="M13" s="3">
        <v>11.37</v>
      </c>
      <c r="N13" s="3">
        <v>12.1</v>
      </c>
      <c r="O13" s="3">
        <v>19.22</v>
      </c>
    </row>
    <row r="14" spans="2:16" ht="23.25">
      <c r="B14" s="1" t="s">
        <v>0</v>
      </c>
      <c r="C14" s="1" t="s">
        <v>6</v>
      </c>
      <c r="D14" s="3">
        <v>30.6</v>
      </c>
      <c r="E14" s="3">
        <v>66.319999999999993</v>
      </c>
      <c r="F14" s="3">
        <v>66.03</v>
      </c>
      <c r="G14" s="3">
        <v>3</v>
      </c>
      <c r="H14" s="3">
        <v>57.12</v>
      </c>
      <c r="I14" s="3">
        <v>2.3515700000000002</v>
      </c>
      <c r="J14" s="3">
        <v>1.35768</v>
      </c>
      <c r="K14" s="4"/>
      <c r="L14" s="4"/>
      <c r="N14" s="3"/>
      <c r="O14" s="3"/>
      <c r="P14" s="3"/>
    </row>
    <row r="15" spans="2:16" ht="23.25">
      <c r="B15" s="1" t="s">
        <v>1</v>
      </c>
      <c r="C15" s="1" t="s">
        <v>6</v>
      </c>
      <c r="D15" s="3">
        <v>67.31</v>
      </c>
      <c r="E15" s="3">
        <v>61.25</v>
      </c>
      <c r="F15" s="3">
        <v>47.83</v>
      </c>
      <c r="G15" s="3">
        <v>3</v>
      </c>
      <c r="H15" s="3">
        <v>73.36</v>
      </c>
      <c r="I15" s="3">
        <v>0.31748999999999999</v>
      </c>
      <c r="J15" s="3">
        <v>0.18329999999999999</v>
      </c>
      <c r="K15" s="4" t="s">
        <v>16</v>
      </c>
      <c r="L15" s="4"/>
      <c r="N15" s="3"/>
      <c r="O15" s="3"/>
      <c r="P15" s="3"/>
    </row>
    <row r="16" spans="2:16" ht="23.25">
      <c r="B16" s="1" t="s">
        <v>2</v>
      </c>
      <c r="C16" s="1" t="s">
        <v>6</v>
      </c>
      <c r="D16" s="3">
        <v>60.07</v>
      </c>
      <c r="E16" s="3">
        <v>48.56</v>
      </c>
      <c r="F16" s="3">
        <v>39.96</v>
      </c>
      <c r="G16" s="3">
        <v>3</v>
      </c>
      <c r="H16" s="3">
        <v>70.36</v>
      </c>
      <c r="I16" s="3">
        <v>1.5698099999999999</v>
      </c>
      <c r="J16" s="3">
        <v>0.90632999999999997</v>
      </c>
      <c r="K16" s="4" t="s">
        <v>19</v>
      </c>
      <c r="L16" s="4" t="s">
        <v>14</v>
      </c>
      <c r="N16" s="3"/>
      <c r="O16" s="3"/>
      <c r="P16" s="3"/>
    </row>
    <row r="17" spans="2:17" ht="23.25">
      <c r="B17" s="1"/>
      <c r="C17" s="1"/>
      <c r="D17" s="3"/>
      <c r="E17" s="3"/>
      <c r="F17" s="3"/>
      <c r="G17" s="3"/>
      <c r="H17" s="3"/>
      <c r="I17" s="3"/>
      <c r="J17" s="3"/>
      <c r="K17" s="4"/>
      <c r="L17" s="4"/>
    </row>
    <row r="18" spans="2:17" ht="23.25">
      <c r="B18" s="1" t="s">
        <v>0</v>
      </c>
      <c r="C18" s="1" t="s">
        <v>7</v>
      </c>
      <c r="D18" s="3">
        <v>17.3</v>
      </c>
      <c r="E18" s="3">
        <v>21.75</v>
      </c>
      <c r="F18" s="3">
        <v>27.41</v>
      </c>
      <c r="G18" s="3">
        <v>3</v>
      </c>
      <c r="H18" s="3">
        <v>28.42333</v>
      </c>
      <c r="I18" s="3">
        <v>1.1307199999999999</v>
      </c>
      <c r="J18" s="3">
        <v>0.65281999999999996</v>
      </c>
      <c r="K18" s="4"/>
      <c r="L18" s="4"/>
      <c r="M18" s="3">
        <v>17.3</v>
      </c>
      <c r="N18" s="3">
        <v>22.44</v>
      </c>
      <c r="O18" s="3">
        <v>21.15</v>
      </c>
      <c r="P18" s="3"/>
      <c r="Q18" s="3"/>
    </row>
    <row r="19" spans="2:17" ht="23.25">
      <c r="B19" s="1" t="s">
        <v>1</v>
      </c>
      <c r="C19" s="1" t="s">
        <v>7</v>
      </c>
      <c r="D19" s="3">
        <v>22.44</v>
      </c>
      <c r="E19" s="3">
        <v>19.37</v>
      </c>
      <c r="F19" s="3">
        <v>21.75</v>
      </c>
      <c r="G19" s="3">
        <v>3</v>
      </c>
      <c r="H19" s="3">
        <v>22.933330000000002</v>
      </c>
      <c r="I19" s="3">
        <v>0.31004999999999999</v>
      </c>
      <c r="J19" s="3">
        <v>0.17901</v>
      </c>
      <c r="K19" s="4" t="s">
        <v>20</v>
      </c>
      <c r="L19" s="4"/>
      <c r="M19" s="3">
        <v>21.75</v>
      </c>
      <c r="N19" s="3">
        <v>19.37</v>
      </c>
      <c r="O19" s="3">
        <v>21.6</v>
      </c>
      <c r="P19" s="3"/>
      <c r="Q19" s="3"/>
    </row>
    <row r="20" spans="2:17" ht="23.25">
      <c r="B20" s="1" t="s">
        <v>2</v>
      </c>
      <c r="C20" s="1" t="s">
        <v>7</v>
      </c>
      <c r="D20" s="3">
        <v>21.15</v>
      </c>
      <c r="E20" s="3">
        <v>21.6</v>
      </c>
      <c r="F20" s="3">
        <v>17.600000000000001</v>
      </c>
      <c r="G20" s="3">
        <v>3</v>
      </c>
      <c r="H20" s="3">
        <v>26.913329999999998</v>
      </c>
      <c r="I20" s="3">
        <v>0.13796</v>
      </c>
      <c r="J20" s="3">
        <v>7.9649999999999999E-2</v>
      </c>
      <c r="K20" s="4" t="s">
        <v>16</v>
      </c>
      <c r="L20" s="4"/>
      <c r="M20" s="3">
        <v>27.41</v>
      </c>
      <c r="N20" s="3">
        <v>21.75</v>
      </c>
      <c r="O20" s="3">
        <v>17.600000000000001</v>
      </c>
      <c r="P20" s="3"/>
      <c r="Q20" s="3"/>
    </row>
    <row r="21" spans="2:17" ht="23.25">
      <c r="B21" s="1"/>
      <c r="C21" s="1"/>
      <c r="D21" s="3"/>
      <c r="E21" s="3"/>
      <c r="F21" s="3"/>
      <c r="G21" s="3"/>
      <c r="H21" s="3"/>
      <c r="I21" s="3"/>
      <c r="J21" s="3"/>
      <c r="K21" s="4"/>
      <c r="L21" s="4"/>
    </row>
    <row r="22" spans="2:17" ht="23.25">
      <c r="B22" s="1" t="s">
        <v>0</v>
      </c>
      <c r="C22" s="1" t="s">
        <v>8</v>
      </c>
      <c r="D22" s="3">
        <v>9.7100000000000009</v>
      </c>
      <c r="E22" s="3">
        <v>9.82</v>
      </c>
      <c r="F22" s="3">
        <v>10.88</v>
      </c>
      <c r="G22" s="3">
        <v>3</v>
      </c>
      <c r="H22" s="3">
        <v>9.9766700000000004</v>
      </c>
      <c r="I22" s="3">
        <v>0.83608000000000005</v>
      </c>
      <c r="J22" s="3">
        <v>0.48270999999999997</v>
      </c>
      <c r="K22" s="4"/>
      <c r="L22" s="4"/>
      <c r="N22" s="3"/>
      <c r="O22" s="3"/>
      <c r="P22" s="3"/>
    </row>
    <row r="23" spans="2:17" ht="23.25">
      <c r="B23" s="1" t="s">
        <v>1</v>
      </c>
      <c r="C23" s="1" t="s">
        <v>8</v>
      </c>
      <c r="D23" s="3">
        <v>2.75</v>
      </c>
      <c r="E23" s="3">
        <v>6.34</v>
      </c>
      <c r="F23" s="3">
        <v>4</v>
      </c>
      <c r="G23" s="3">
        <v>3</v>
      </c>
      <c r="H23" s="3">
        <v>4.5066699999999997</v>
      </c>
      <c r="I23" s="3">
        <v>1.6397999999999999</v>
      </c>
      <c r="J23" s="3">
        <v>0.94674000000000003</v>
      </c>
      <c r="K23" s="4" t="s">
        <v>16</v>
      </c>
      <c r="L23" s="4"/>
      <c r="N23" s="3"/>
      <c r="O23" s="3"/>
      <c r="P23" s="3"/>
    </row>
    <row r="24" spans="2:17" ht="23.25">
      <c r="B24" s="1" t="s">
        <v>2</v>
      </c>
      <c r="C24" s="1" t="s">
        <v>8</v>
      </c>
      <c r="D24" s="3">
        <v>10.36</v>
      </c>
      <c r="E24" s="3">
        <v>10.57</v>
      </c>
      <c r="F24" s="3">
        <v>12.47</v>
      </c>
      <c r="G24" s="3">
        <v>3</v>
      </c>
      <c r="H24" s="3">
        <v>11.15333</v>
      </c>
      <c r="I24" s="3">
        <v>1.14273</v>
      </c>
      <c r="J24" s="3">
        <v>0.65976000000000001</v>
      </c>
      <c r="K24" s="4" t="s">
        <v>19</v>
      </c>
      <c r="L24" s="4" t="s">
        <v>14</v>
      </c>
      <c r="N24" s="3"/>
      <c r="O24" s="3"/>
      <c r="P24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工作表1 (2)</vt:lpstr>
      <vt:lpstr>工作表1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Quiroz</dc:creator>
  <cp:lastModifiedBy>Carlos Quiroz</cp:lastModifiedBy>
  <dcterms:created xsi:type="dcterms:W3CDTF">2026-10-12T08:48:54Z</dcterms:created>
  <dcterms:modified xsi:type="dcterms:W3CDTF">2026-10-12T17:20:56Z</dcterms:modified>
</cp:coreProperties>
</file>